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hiqu\OneDrive\Documentos\ainhoa\2CARRERA\PR2\"/>
    </mc:Choice>
  </mc:AlternateContent>
  <xr:revisionPtr revIDLastSave="0" documentId="13_ncr:1_{BED92628-CC2E-4C34-8364-C00FE2824151}" xr6:coauthVersionLast="47" xr6:coauthVersionMax="47" xr10:uidLastSave="{00000000-0000-0000-0000-000000000000}"/>
  <bookViews>
    <workbookView xWindow="-108" yWindow="-108" windowWidth="23256" windowHeight="12456" xr2:uid="{689FC29D-3C21-459E-B62E-1B2D94425C4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41" i="1" l="1"/>
  <c r="L24" i="1"/>
  <c r="L25" i="1"/>
  <c r="F30" i="1"/>
  <c r="N10" i="1"/>
  <c r="F12" i="1"/>
  <c r="G12" i="1"/>
  <c r="F33" i="1" s="1"/>
  <c r="N19" i="1"/>
  <c r="L29" i="1"/>
  <c r="F38" i="1" s="1"/>
  <c r="E37" i="1" l="1"/>
  <c r="E40" i="1" s="1"/>
  <c r="E41" i="1" s="1"/>
  <c r="F39" i="1"/>
  <c r="F40" i="1" s="1"/>
  <c r="M36" i="1" s="1"/>
  <c r="G39" i="1"/>
  <c r="H39" i="1"/>
  <c r="I39" i="1"/>
  <c r="J39" i="1"/>
  <c r="J38" i="1"/>
  <c r="J40" i="1" s="1"/>
  <c r="M37" i="1" s="1"/>
  <c r="I38" i="1"/>
  <c r="I40" i="1" s="1"/>
  <c r="H38" i="1"/>
  <c r="G38" i="1"/>
  <c r="H40" i="1" l="1"/>
  <c r="G40" i="1"/>
  <c r="G41" i="1" l="1"/>
  <c r="H41" i="1" s="1"/>
  <c r="I41" i="1" s="1"/>
  <c r="J41" i="1" s="1"/>
</calcChain>
</file>

<file path=xl/sharedStrings.xml><?xml version="1.0" encoding="utf-8"?>
<sst xmlns="http://schemas.openxmlformats.org/spreadsheetml/2006/main" count="63" uniqueCount="61">
  <si>
    <t>TOTAL ACUMULADO</t>
  </si>
  <si>
    <t>FLUJO ANUAL</t>
  </si>
  <si>
    <t>Gastos: Mantenimiento</t>
  </si>
  <si>
    <t>Ahorros: salarios</t>
  </si>
  <si>
    <t>ROI</t>
  </si>
  <si>
    <t>Inversión: Coste del proyecto</t>
  </si>
  <si>
    <t>años</t>
  </si>
  <si>
    <t>PayBack</t>
  </si>
  <si>
    <t>AÑO 5</t>
  </si>
  <si>
    <t>AÑO 4</t>
  </si>
  <si>
    <t>AÑO 3</t>
  </si>
  <si>
    <t>AÑO 2</t>
  </si>
  <si>
    <t>AÑO 1</t>
  </si>
  <si>
    <t>AÑO 0</t>
  </si>
  <si>
    <t>Concepto</t>
  </si>
  <si>
    <t>RECUPERACIÓN DE LA INVERSIÓN</t>
  </si>
  <si>
    <t>TOTAL PRESUPUESTO DEL PROYECTO</t>
  </si>
  <si>
    <t>Aumento de productividad</t>
  </si>
  <si>
    <t>Ahorro dinero operarios anuales</t>
  </si>
  <si>
    <t>horas</t>
  </si>
  <si>
    <t>hora/s</t>
  </si>
  <si>
    <t>Sueldo de un operario brutos anuales</t>
  </si>
  <si>
    <t>Ahorro nº de operarios</t>
  </si>
  <si>
    <t>Tiempo total del proceso</t>
  </si>
  <si>
    <t>mañana/tarde</t>
  </si>
  <si>
    <t>Turnos</t>
  </si>
  <si>
    <t>Ahorro de tiempo</t>
  </si>
  <si>
    <t xml:space="preserve">Jornada laboral </t>
  </si>
  <si>
    <t>AHORRO AUTOMATIZACIÓN DEL PROCESO</t>
  </si>
  <si>
    <t>DATOS DE PARTIDA</t>
  </si>
  <si>
    <t>TOTAL COSTES</t>
  </si>
  <si>
    <t>16 h/día</t>
  </si>
  <si>
    <t>Consumo eléctrico</t>
  </si>
  <si>
    <t>Recambio de las correas de las cintas</t>
  </si>
  <si>
    <t>Recambio de las ventosas</t>
  </si>
  <si>
    <t>Manteniemiento del UR5e</t>
  </si>
  <si>
    <t>Mantenimiento del UR30</t>
  </si>
  <si>
    <t>MANTENIMIENTO ANUAL</t>
  </si>
  <si>
    <t>Palé</t>
  </si>
  <si>
    <t>Cinta mecánica</t>
  </si>
  <si>
    <t>Instalación del UR5e</t>
  </si>
  <si>
    <t>Cámara Matrox Iris GTR</t>
  </si>
  <si>
    <t>Instalación del UR30</t>
  </si>
  <si>
    <t>Garra OnRobot VGP20 Vacuum gripper</t>
  </si>
  <si>
    <t>Transporte y puesta en marcha</t>
  </si>
  <si>
    <t>Sensor SICK WL4S</t>
  </si>
  <si>
    <t>Cuadro eléctrico y seguridad</t>
  </si>
  <si>
    <t>Garra SMC ZWP7A01-ZP2OU-X1 Vacuum Gripper</t>
  </si>
  <si>
    <t>Montaje mecánico y cableado</t>
  </si>
  <si>
    <t>UR5e</t>
  </si>
  <si>
    <t>Ingeniería y programación (Robo DK )</t>
  </si>
  <si>
    <t>UR30</t>
  </si>
  <si>
    <t>INSTALACIÓN</t>
  </si>
  <si>
    <t>CANTIDAD</t>
  </si>
  <si>
    <t>PRECIO</t>
  </si>
  <si>
    <t>PRESUPUESTO DEL PROYECTO</t>
  </si>
  <si>
    <t>Tiempo de ciclo autoamtizado PROCESO A</t>
  </si>
  <si>
    <t>Tiempo de ciclo autoamtizado PROCESO B</t>
  </si>
  <si>
    <t>Tiempo de ciclo TOTAL</t>
  </si>
  <si>
    <t>Tiempo de ciclo PROCESO A</t>
  </si>
  <si>
    <t>Tiempo de ciclo PROCESO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</si>
</sst>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C0A]_-;\-* #,##0.00\ [$€-C0A]_-;_-* &quot;-&quot;??\ [$€-C0A]_-;_-@_-"/>
    <numFmt numFmtId="165" formatCode="[$-F400]h:mm:ss\ AM/PM"/>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
      <name val="Aptos Narrow"/>
      <family val="2"/>
      <scheme val="minor"/>
    </font>
  </fonts>
  <fills count="12">
    <fill>
      <patternFill patternType="none"/>
    </fill>
    <fill>
      <patternFill patternType="gray125"/>
    </fill>
    <fill>
      <patternFill patternType="solid">
        <fgColor rgb="FFFFCC66"/>
        <bgColor indexed="64"/>
      </patternFill>
    </fill>
    <fill>
      <patternFill patternType="solid">
        <fgColor rgb="FFFFCC99"/>
        <bgColor indexed="64"/>
      </patternFill>
    </fill>
    <fill>
      <patternFill patternType="solid">
        <fgColor rgb="FFFFFFCC"/>
        <bgColor indexed="64"/>
      </patternFill>
    </fill>
    <fill>
      <patternFill patternType="solid">
        <fgColor rgb="FFCCCCFF"/>
        <bgColor indexed="64"/>
      </patternFill>
    </fill>
    <fill>
      <patternFill patternType="solid">
        <fgColor rgb="FFCC99FF"/>
        <bgColor indexed="64"/>
      </patternFill>
    </fill>
    <fill>
      <patternFill patternType="solid">
        <fgColor rgb="FFFFFF99"/>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64">
    <xf numFmtId="0" fontId="0" fillId="0" borderId="0" xfId="0"/>
    <xf numFmtId="164" fontId="0" fillId="2" borderId="1" xfId="0" applyNumberFormat="1" applyFill="1" applyBorder="1"/>
    <xf numFmtId="0" fontId="0" fillId="2" borderId="2" xfId="0" applyFill="1" applyBorder="1"/>
    <xf numFmtId="0" fontId="0" fillId="2" borderId="3" xfId="0" applyFill="1" applyBorder="1"/>
    <xf numFmtId="0" fontId="2" fillId="2" borderId="4" xfId="0" applyFont="1" applyFill="1" applyBorder="1"/>
    <xf numFmtId="164" fontId="0" fillId="3" borderId="1" xfId="0" applyNumberFormat="1" applyFill="1" applyBorder="1"/>
    <xf numFmtId="0" fontId="0" fillId="3" borderId="5" xfId="0" applyFill="1" applyBorder="1"/>
    <xf numFmtId="0" fontId="0" fillId="3" borderId="6" xfId="0" applyFill="1" applyBorder="1"/>
    <xf numFmtId="0" fontId="0" fillId="3" borderId="7" xfId="0" applyFill="1" applyBorder="1"/>
    <xf numFmtId="164" fontId="0" fillId="4" borderId="8" xfId="0" applyNumberFormat="1" applyFill="1" applyBorder="1"/>
    <xf numFmtId="164" fontId="0" fillId="4" borderId="9" xfId="0" applyNumberFormat="1" applyFill="1" applyBorder="1"/>
    <xf numFmtId="0" fontId="0" fillId="4" borderId="0" xfId="0" applyFill="1"/>
    <xf numFmtId="0" fontId="0" fillId="4" borderId="10" xfId="0" applyFill="1" applyBorder="1"/>
    <xf numFmtId="0" fontId="0" fillId="5" borderId="11" xfId="0" applyFill="1" applyBorder="1"/>
    <xf numFmtId="10" fontId="0" fillId="5" borderId="12" xfId="1" applyNumberFormat="1" applyFont="1" applyFill="1" applyBorder="1"/>
    <xf numFmtId="0" fontId="2" fillId="6" borderId="1" xfId="0" applyFont="1" applyFill="1" applyBorder="1"/>
    <xf numFmtId="0" fontId="0" fillId="5" borderId="2" xfId="0" applyFill="1" applyBorder="1"/>
    <xf numFmtId="0" fontId="0" fillId="5" borderId="4" xfId="0" applyFill="1" applyBorder="1"/>
    <xf numFmtId="0" fontId="2" fillId="4" borderId="2" xfId="0" applyFont="1" applyFill="1" applyBorder="1"/>
    <xf numFmtId="0" fontId="2" fillId="4" borderId="1" xfId="0" applyFont="1" applyFill="1" applyBorder="1"/>
    <xf numFmtId="0" fontId="0" fillId="7" borderId="5" xfId="0" applyFill="1" applyBorder="1"/>
    <xf numFmtId="0" fontId="0" fillId="7" borderId="6" xfId="0" applyFill="1" applyBorder="1"/>
    <xf numFmtId="0" fontId="2" fillId="7" borderId="7" xfId="0" applyFont="1" applyFill="1" applyBorder="1"/>
    <xf numFmtId="164" fontId="0" fillId="8" borderId="1" xfId="0" applyNumberFormat="1" applyFill="1" applyBorder="1"/>
    <xf numFmtId="0" fontId="0" fillId="9" borderId="3" xfId="0" applyFill="1" applyBorder="1"/>
    <xf numFmtId="0" fontId="2" fillId="9" borderId="4" xfId="0" applyFont="1" applyFill="1" applyBorder="1"/>
    <xf numFmtId="0" fontId="3" fillId="0" borderId="0" xfId="0" applyFont="1"/>
    <xf numFmtId="0" fontId="0" fillId="0" borderId="11" xfId="0" applyBorder="1"/>
    <xf numFmtId="0" fontId="0" fillId="0" borderId="12" xfId="0" applyBorder="1"/>
    <xf numFmtId="0" fontId="0" fillId="0" borderId="13" xfId="0" applyBorder="1"/>
    <xf numFmtId="164" fontId="0" fillId="0" borderId="12" xfId="0" applyNumberFormat="1" applyBorder="1"/>
    <xf numFmtId="0" fontId="0" fillId="0" borderId="8" xfId="0" applyBorder="1"/>
    <xf numFmtId="0" fontId="0" fillId="0" borderId="10" xfId="0" applyBorder="1"/>
    <xf numFmtId="164" fontId="0" fillId="0" borderId="0" xfId="0" applyNumberFormat="1"/>
    <xf numFmtId="0" fontId="0" fillId="10" borderId="2" xfId="0" applyFill="1" applyBorder="1"/>
    <xf numFmtId="0" fontId="0" fillId="10" borderId="3" xfId="0" applyFill="1" applyBorder="1"/>
    <xf numFmtId="0" fontId="2" fillId="10" borderId="4" xfId="0" applyFont="1" applyFill="1" applyBorder="1"/>
    <xf numFmtId="164" fontId="0" fillId="11" borderId="1" xfId="0" applyNumberFormat="1" applyFill="1" applyBorder="1"/>
    <xf numFmtId="164" fontId="0" fillId="0" borderId="2" xfId="0" applyNumberFormat="1" applyBorder="1"/>
    <xf numFmtId="0" fontId="0" fillId="0" borderId="3" xfId="0" applyBorder="1"/>
    <xf numFmtId="0" fontId="2" fillId="0" borderId="4" xfId="0" applyFont="1" applyBorder="1"/>
    <xf numFmtId="0" fontId="0" fillId="11" borderId="5" xfId="0" applyFill="1" applyBorder="1"/>
    <xf numFmtId="0" fontId="0" fillId="11" borderId="6" xfId="0" applyFill="1" applyBorder="1"/>
    <xf numFmtId="0" fontId="2" fillId="11" borderId="7" xfId="0" applyFont="1" applyFill="1" applyBorder="1"/>
    <xf numFmtId="0" fontId="2" fillId="0" borderId="13" xfId="0" applyFont="1" applyBorder="1"/>
    <xf numFmtId="0" fontId="0" fillId="0" borderId="14" xfId="0" applyBorder="1"/>
    <xf numFmtId="164" fontId="0" fillId="0" borderId="13" xfId="0" applyNumberFormat="1" applyBorder="1"/>
    <xf numFmtId="0" fontId="0" fillId="0" borderId="2" xfId="0" applyBorder="1"/>
    <xf numFmtId="164" fontId="0" fillId="0" borderId="3" xfId="0" applyNumberFormat="1" applyBorder="1"/>
    <xf numFmtId="0" fontId="0" fillId="0" borderId="9" xfId="0" applyBorder="1"/>
    <xf numFmtId="164" fontId="0" fillId="0" borderId="10" xfId="0" applyNumberFormat="1" applyBorder="1"/>
    <xf numFmtId="0" fontId="0" fillId="0" borderId="15" xfId="0" applyBorder="1"/>
    <xf numFmtId="164" fontId="0" fillId="0" borderId="7" xfId="0" applyNumberFormat="1" applyBorder="1"/>
    <xf numFmtId="0" fontId="0" fillId="0" borderId="6" xfId="0" applyBorder="1"/>
    <xf numFmtId="0" fontId="0" fillId="0" borderId="7" xfId="0" applyBorder="1"/>
    <xf numFmtId="0" fontId="0" fillId="11" borderId="2" xfId="0" applyFill="1" applyBorder="1"/>
    <xf numFmtId="0" fontId="0" fillId="11" borderId="3" xfId="0" applyFill="1" applyBorder="1"/>
    <xf numFmtId="0" fontId="2" fillId="11" borderId="4" xfId="0" applyFont="1" applyFill="1" applyBorder="1"/>
    <xf numFmtId="0" fontId="2" fillId="11" borderId="1" xfId="0" applyFont="1" applyFill="1" applyBorder="1"/>
    <xf numFmtId="9" fontId="0" fillId="0" borderId="0" xfId="0" applyNumberFormat="1"/>
    <xf numFmtId="165" fontId="0" fillId="0" borderId="0" xfId="0" applyNumberFormat="1"/>
    <xf numFmtId="165" fontId="0" fillId="0" borderId="12" xfId="0" applyNumberFormat="1" applyBorder="1"/>
    <xf numFmtId="164" fontId="0" fillId="2" borderId="1" xfId="0" applyNumberFormat="1" applyFont="1" applyFill="1" applyBorder="1"/>
    <xf numFmtId="0" fontId="0" fillId="0" borderId="0" xfId="0" applyFon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9525</xdr:colOff>
      <xdr:row>12</xdr:row>
      <xdr:rowOff>177165</xdr:rowOff>
    </xdr:from>
    <xdr:ext cx="4029075" cy="1295400"/>
    <xdr:sp macro="" textlink="">
      <xdr:nvSpPr>
        <xdr:cNvPr id="2" name="CuadroTexto 1">
          <a:extLst>
            <a:ext uri="{FF2B5EF4-FFF2-40B4-BE49-F238E27FC236}">
              <a16:creationId xmlns:a16="http://schemas.microsoft.com/office/drawing/2014/main" id="{542E7F68-B94B-4CC1-AAF6-023FAE0A54C9}"/>
            </a:ext>
          </a:extLst>
        </xdr:cNvPr>
        <xdr:cNvSpPr txBox="1"/>
      </xdr:nvSpPr>
      <xdr:spPr>
        <a:xfrm>
          <a:off x="802005" y="2345055"/>
          <a:ext cx="4029075" cy="1295400"/>
        </a:xfrm>
        <a:prstGeom prst="rect">
          <a:avLst/>
        </a:prstGeom>
        <a:solidFill>
          <a:schemeClr val="bg1"/>
        </a:solidFill>
        <a:ln>
          <a:solidFill>
            <a:schemeClr val="bg2">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a:t>Para el presupuesto del proyecto se ha añadido al lado de </a:t>
          </a:r>
          <a:r>
            <a:rPr lang="es-ES" sz="1100" baseline="0"/>
            <a:t> cada elemento que conforma la celda su precio (aproximadamente). Sin embargo, a la hora de contabilizar la suma total se ha tenido en cuenta todos los elementos totales, es decir, se han sumado las 5 cintas mecánicas, los 5 sensores que detectan la presencia o no presencia de azulejos o de cajas... etc.</a:t>
          </a:r>
          <a:endParaRPr lang="es-ES" sz="1100"/>
        </a:p>
      </xdr:txBody>
    </xdr:sp>
    <xdr:clientData/>
  </xdr:oneCellAnchor>
  <xdr:twoCellAnchor>
    <xdr:from>
      <xdr:col>6</xdr:col>
      <xdr:colOff>309513</xdr:colOff>
      <xdr:row>12</xdr:row>
      <xdr:rowOff>160182</xdr:rowOff>
    </xdr:from>
    <xdr:to>
      <xdr:col>8</xdr:col>
      <xdr:colOff>528428</xdr:colOff>
      <xdr:row>19</xdr:row>
      <xdr:rowOff>94992</xdr:rowOff>
    </xdr:to>
    <xdr:sp macro="" textlink="">
      <xdr:nvSpPr>
        <xdr:cNvPr id="3" name="CuadroTexto 2">
          <a:extLst>
            <a:ext uri="{FF2B5EF4-FFF2-40B4-BE49-F238E27FC236}">
              <a16:creationId xmlns:a16="http://schemas.microsoft.com/office/drawing/2014/main" id="{8D7D8F74-1320-49C3-B8A1-39ECFCC4D995}"/>
            </a:ext>
          </a:extLst>
        </xdr:cNvPr>
        <xdr:cNvSpPr txBox="1"/>
      </xdr:nvSpPr>
      <xdr:spPr>
        <a:xfrm>
          <a:off x="5054868" y="2333787"/>
          <a:ext cx="1796255" cy="1203540"/>
        </a:xfrm>
        <a:prstGeom prst="rect">
          <a:avLst/>
        </a:prstGeom>
        <a:blipFill>
          <a:blip xmlns:r="http://schemas.openxmlformats.org/officeDocument/2006/relationships" r:embed="rId1"/>
          <a:tile tx="0" ty="0" sx="100000" sy="100000" flip="none" algn="tl"/>
        </a:bli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200" b="1"/>
            <a:t>Ainhoa López Gómez</a:t>
          </a:r>
        </a:p>
        <a:p>
          <a:r>
            <a:rPr lang="es-ES" sz="1200" b="1"/>
            <a:t>Paula Barona Terol</a:t>
          </a:r>
        </a:p>
        <a:p>
          <a:r>
            <a:rPr lang="es-ES" sz="1200" b="1"/>
            <a:t>Claudia Moreno Martínez</a:t>
          </a:r>
        </a:p>
        <a:p>
          <a:r>
            <a:rPr lang="es-ES" sz="1200" b="1"/>
            <a:t>Finn Alai Perea Oltmann</a:t>
          </a:r>
        </a:p>
        <a:p>
          <a:r>
            <a:rPr lang="es-ES" sz="1200" b="1"/>
            <a:t>Grupo 6   (2IRAA2)</a:t>
          </a:r>
        </a:p>
      </xdr:txBody>
    </xdr:sp>
    <xdr:clientData/>
  </xdr:twoCellAnchor>
  <xdr:twoCellAnchor>
    <xdr:from>
      <xdr:col>14</xdr:col>
      <xdr:colOff>534207</xdr:colOff>
      <xdr:row>2</xdr:row>
      <xdr:rowOff>60766</xdr:rowOff>
    </xdr:from>
    <xdr:to>
      <xdr:col>20</xdr:col>
      <xdr:colOff>460559</xdr:colOff>
      <xdr:row>27</xdr:row>
      <xdr:rowOff>24216</xdr:rowOff>
    </xdr:to>
    <xdr:sp macro="" textlink="">
      <xdr:nvSpPr>
        <xdr:cNvPr id="4" name="CuadroTexto 3">
          <a:extLst>
            <a:ext uri="{FF2B5EF4-FFF2-40B4-BE49-F238E27FC236}">
              <a16:creationId xmlns:a16="http://schemas.microsoft.com/office/drawing/2014/main" id="{2EC14DB8-D65C-460D-B6AC-650ED81E6A7D}"/>
            </a:ext>
          </a:extLst>
        </xdr:cNvPr>
        <xdr:cNvSpPr txBox="1"/>
      </xdr:nvSpPr>
      <xdr:spPr>
        <a:xfrm>
          <a:off x="11602257" y="418906"/>
          <a:ext cx="4669802" cy="448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Ingeniería</a:t>
          </a:r>
          <a:r>
            <a:rPr lang="es-ES" sz="1100" b="1" baseline="0"/>
            <a:t> y Porgramación:</a:t>
          </a:r>
        </a:p>
        <a:p>
          <a:r>
            <a:rPr lang="es-ES" sz="1100"/>
            <a:t>En este apartado se paga por las horas de ingeniero. El ingeniero es el encargado de escribir y depurar el código; configurar la cámara; programar el UR30 y el UR5e.</a:t>
          </a:r>
        </a:p>
        <a:p>
          <a:r>
            <a:rPr lang="es-ES" sz="1100"/>
            <a:t>Se estima que por hora son unos 60-80€ y alrededor de unas 150-200 horas de trabajo.</a:t>
          </a:r>
        </a:p>
        <a:p>
          <a:r>
            <a:rPr lang="es-ES" sz="1100" b="1"/>
            <a:t>Montaje</a:t>
          </a:r>
          <a:r>
            <a:rPr lang="es-ES" sz="1100" b="1" baseline="0"/>
            <a:t> mecánico y cableado:</a:t>
          </a:r>
        </a:p>
        <a:p>
          <a:r>
            <a:rPr lang="es-ES" sz="1100" baseline="0"/>
            <a:t>Parte física del proyecto. En esta sección es imprescindible no tener en cuenta los anclajes de las bases de las unidades robóticas, alinear y montar las 5 cintas transportadores co sus respectivos sensores. Además, la gestión del cableado.</a:t>
          </a:r>
        </a:p>
        <a:p>
          <a:r>
            <a:rPr lang="es-ES" sz="1100" b="1" baseline="0"/>
            <a:t>Cuadro eléctrico y seguridad:</a:t>
          </a:r>
        </a:p>
        <a:p>
          <a:r>
            <a:rPr lang="es-ES" sz="1100" baseline="0"/>
            <a:t>Aunque no se necesiten medidas de seguridad como jaulas sí se necesita la instalación de controladores o también conocidos como PLCs, materiales como relés o fuentes de alimentación y cableados de seguridad y medidas de seguridad para cumplir con las normativas.</a:t>
          </a:r>
        </a:p>
        <a:p>
          <a:r>
            <a:rPr lang="es-ES" sz="1100" b="1" baseline="0"/>
            <a:t>Transporte y puesta en marcha:</a:t>
          </a:r>
        </a:p>
        <a:p>
          <a:r>
            <a:rPr lang="es-ES" sz="1100" baseline="0"/>
            <a:t>Una vez está todo diseñado, los ingenieros como el equipo de montaje deben estar un par de días/semanas en la fábrica llevando a cabo la fase de prueba del proyecto. Para después ajustar sensores que falla, alcances, recalibrando posiciones y trayectorias... etc</a:t>
          </a:r>
        </a:p>
        <a:p>
          <a:r>
            <a:rPr lang="es-ES" sz="1100" b="1" baseline="0"/>
            <a:t>Instalación del UR5e:</a:t>
          </a:r>
        </a:p>
        <a:p>
          <a:r>
            <a:rPr lang="es-ES" sz="1100" baseline="0"/>
            <a:t>La instalación del Ur5e es más cara que la del Ur30, ya que éste requiere de coordinar el robot con 3 cintas mecánicas y con la cámara. Además, su parte del proceso requiere de un mayor grado de precisión que el proceso que lleva a cabo el UR30.</a:t>
          </a:r>
        </a:p>
      </xdr:txBody>
    </xdr:sp>
    <xdr:clientData/>
  </xdr:twoCellAnchor>
  <xdr:twoCellAnchor>
    <xdr:from>
      <xdr:col>0</xdr:col>
      <xdr:colOff>777240</xdr:colOff>
      <xdr:row>41</xdr:row>
      <xdr:rowOff>135256</xdr:rowOff>
    </xdr:from>
    <xdr:to>
      <xdr:col>10</xdr:col>
      <xdr:colOff>9922</xdr:colOff>
      <xdr:row>52</xdr:row>
      <xdr:rowOff>1</xdr:rowOff>
    </xdr:to>
    <xdr:sp macro="" textlink="">
      <xdr:nvSpPr>
        <xdr:cNvPr id="5" name="CuadroTexto 4">
          <a:extLst>
            <a:ext uri="{FF2B5EF4-FFF2-40B4-BE49-F238E27FC236}">
              <a16:creationId xmlns:a16="http://schemas.microsoft.com/office/drawing/2014/main" id="{CCFDE9CA-D2F4-4592-A8B9-8EF8D3F1BBA5}"/>
            </a:ext>
          </a:extLst>
        </xdr:cNvPr>
        <xdr:cNvSpPr txBox="1"/>
      </xdr:nvSpPr>
      <xdr:spPr>
        <a:xfrm>
          <a:off x="781050" y="7551421"/>
          <a:ext cx="7136527" cy="1859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Ahorro en salarios:</a:t>
          </a:r>
        </a:p>
        <a:p>
          <a:r>
            <a:rPr lang="es-ES" sz="1100"/>
            <a:t>El ahorro de 100.000€ anuales surge de calcular el coste laboral total de los operarios que dejarán</a:t>
          </a:r>
          <a:r>
            <a:rPr lang="es-ES" sz="1100" baseline="0"/>
            <a:t> d</a:t>
          </a:r>
          <a:r>
            <a:rPr lang="es-ES" sz="1100"/>
            <a:t>e realizar tareas manuales</a:t>
          </a:r>
          <a:r>
            <a:rPr lang="es-ES" sz="1100" baseline="0"/>
            <a:t> repetitivas para pasar a otras funciones. Para el cálculo se ha considerado la existencia de 2 turnos diarios (mañana y tarde) con una jornada laboral de 8 horas. Se estiman 220 días al año laborables.</a:t>
          </a:r>
        </a:p>
        <a:p>
          <a:r>
            <a:rPr lang="es-ES" sz="1100" baseline="0"/>
            <a:t>Para el control de calidad y empaquetado se requiere a 1 operario por turno dedicado a inspeccionar visualmente los azulejos y meterlos en las cajas.  Mientras que en el puesto del final de la línea, el paletizado de las cajas se requiere mínimo a 1 personsona cargando exclusivamente cajas y dejandolas en el palé adecuado. </a:t>
          </a:r>
        </a:p>
        <a:p>
          <a:r>
            <a:rPr lang="es-ES" sz="1100" baseline="0"/>
            <a:t>En total se ahorra mínimo 2 operarios por turno, un total de 4 operarios.</a:t>
          </a:r>
        </a:p>
        <a:p>
          <a:r>
            <a:rPr lang="es-ES" sz="1100" baseline="0"/>
            <a:t>Se considera un total de 25,000€ anuales brutos por operario.</a:t>
          </a:r>
        </a:p>
        <a:p>
          <a:r>
            <a:rPr lang="es-ES" sz="1100" baseline="0"/>
            <a:t>Total de ahorro en salarios: 4*25,000€= 100,000€</a:t>
          </a:r>
        </a:p>
        <a:p>
          <a:endParaRPr lang="es-ES" sz="1100" baseline="0"/>
        </a:p>
        <a:p>
          <a:endParaRPr lang="es-ES" sz="1100"/>
        </a:p>
      </xdr:txBody>
    </xdr:sp>
    <xdr:clientData/>
  </xdr:twoCellAnchor>
  <xdr:twoCellAnchor>
    <xdr:from>
      <xdr:col>11</xdr:col>
      <xdr:colOff>0</xdr:colOff>
      <xdr:row>38</xdr:row>
      <xdr:rowOff>158788</xdr:rowOff>
    </xdr:from>
    <xdr:to>
      <xdr:col>18</xdr:col>
      <xdr:colOff>18602</xdr:colOff>
      <xdr:row>47</xdr:row>
      <xdr:rowOff>21167</xdr:rowOff>
    </xdr:to>
    <xdr:sp macro="" textlink="">
      <xdr:nvSpPr>
        <xdr:cNvPr id="6" name="CuadroTexto 5">
          <a:extLst>
            <a:ext uri="{FF2B5EF4-FFF2-40B4-BE49-F238E27FC236}">
              <a16:creationId xmlns:a16="http://schemas.microsoft.com/office/drawing/2014/main" id="{B2C572CC-40B1-4BCD-8148-311A20E28440}"/>
            </a:ext>
          </a:extLst>
        </xdr:cNvPr>
        <xdr:cNvSpPr txBox="1"/>
      </xdr:nvSpPr>
      <xdr:spPr>
        <a:xfrm>
          <a:off x="8696325" y="7037743"/>
          <a:ext cx="5556437" cy="14854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PayBack:</a:t>
          </a:r>
        </a:p>
        <a:p>
          <a:r>
            <a:rPr lang="es-ES" sz="1100" b="0"/>
            <a:t>Un PayBack</a:t>
          </a:r>
          <a:r>
            <a:rPr lang="es-ES" sz="1100" b="0" baseline="0"/>
            <a:t> de 1,84 años en la industria es un resultado sumamente positivo. Este dato significa que la empresa recupera su liquidez muy rápido, lo que libera capital para otras inversiones a corto plazo.</a:t>
          </a:r>
        </a:p>
        <a:p>
          <a:endParaRPr lang="es-ES" sz="1100" b="0" baseline="0"/>
        </a:p>
        <a:p>
          <a:r>
            <a:rPr lang="es-ES" sz="1100" b="1" baseline="0"/>
            <a:t>ROI:</a:t>
          </a:r>
        </a:p>
        <a:p>
          <a:r>
            <a:rPr lang="es-ES" sz="1100" b="0" baseline="0"/>
            <a:t>Un ROI de 171,30% implica que el beneficio triplica el coste incial. Este porcentaje demuestra que la automatización no es solo un coste operativo necesario para la calidad, sino una inversión estratégica altamente rentable. </a:t>
          </a:r>
          <a:endParaRPr lang="es-ES" sz="1100" b="0"/>
        </a:p>
      </xdr:txBody>
    </xdr:sp>
    <xdr:clientData/>
  </xdr:twoCellAnchor>
  <xdr:twoCellAnchor>
    <xdr:from>
      <xdr:col>0</xdr:col>
      <xdr:colOff>778193</xdr:colOff>
      <xdr:row>53</xdr:row>
      <xdr:rowOff>55562</xdr:rowOff>
    </xdr:from>
    <xdr:to>
      <xdr:col>18</xdr:col>
      <xdr:colOff>0</xdr:colOff>
      <xdr:row>72</xdr:row>
      <xdr:rowOff>15712</xdr:rowOff>
    </xdr:to>
    <xdr:sp macro="" textlink="">
      <xdr:nvSpPr>
        <xdr:cNvPr id="7" name="CuadroTexto 6">
          <a:extLst>
            <a:ext uri="{FF2B5EF4-FFF2-40B4-BE49-F238E27FC236}">
              <a16:creationId xmlns:a16="http://schemas.microsoft.com/office/drawing/2014/main" id="{181C21CA-76C8-4ACB-ACF0-EE60DA898D34}"/>
            </a:ext>
          </a:extLst>
        </xdr:cNvPr>
        <xdr:cNvSpPr txBox="1"/>
      </xdr:nvSpPr>
      <xdr:spPr>
        <a:xfrm>
          <a:off x="778193" y="9631624"/>
          <a:ext cx="15852261" cy="33930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Tiempo de ciclo sin automatizar:  (60</a:t>
          </a:r>
          <a:r>
            <a:rPr lang="es-ES" sz="1100" b="1" baseline="0"/>
            <a:t> + 324 </a:t>
          </a:r>
          <a:r>
            <a:rPr lang="es-ES" sz="1100" b="1"/>
            <a:t>) = 6</a:t>
          </a:r>
          <a:r>
            <a:rPr lang="es-ES" sz="1100" b="1" baseline="0"/>
            <a:t> minutos y 24</a:t>
          </a:r>
          <a:r>
            <a:rPr lang="es-ES" sz="1100" b="1"/>
            <a:t> segundos </a:t>
          </a:r>
        </a:p>
        <a:p>
          <a:r>
            <a:rPr lang="es-ES" sz="1100"/>
            <a:t>- La primera parte del proceso (control de calidad y apilado de azulejos) conllevaría un total de 5 segundos por azulejo. En total sería</a:t>
          </a:r>
          <a:r>
            <a:rPr lang="es-ES" sz="1100" baseline="0"/>
            <a:t> aproximadamente un total de 50-60 segundos, ya que cada caja lleva en su interior 10 azulejos.</a:t>
          </a:r>
        </a:p>
        <a:p>
          <a:r>
            <a:rPr lang="es-ES" sz="1100" baseline="0"/>
            <a:t>- La segunda parte del proceso (paletizado de cajas) conlleva aproximadamente  alrededor de 18 segundos por caja, es decir, que en total, un proceso  de paletizado de un total de 18 cajas por pallé serían un total de 324 segundos (5 minutos y 24 segundos). Asimismo, se debe tener en cuenta que se rellenan 2 pallés a la vez, por lo que sería 324*2 = 648 segundos (10 minutos y 48 segundos).</a:t>
          </a:r>
        </a:p>
        <a:p>
          <a:endParaRPr lang="es-ES" sz="1100" baseline="0"/>
        </a:p>
        <a:p>
          <a:r>
            <a:rPr lang="es-ES" sz="1100" baseline="0"/>
            <a:t>En suma, existe un factor externo que se ha denominado en este proyecto como factor humano. En otras palabras, se debe tener en cuenta que la cifra del proceso sin automatizar es una cifra meramente orientativa, ya que muchas veces el tiempo podría ser mayor en base a la velocidad del operario desde la zona de recogida de caja hasta el palet, paradas técnicas para el descanso del operario o incluso momentos donde se reuiere de una arada del operario para recibir instrucciones técnicas por parte de otro operario. Todos estos aspectos se engloban en el factor humano.</a:t>
          </a:r>
        </a:p>
        <a:p>
          <a:endParaRPr lang="es-ES" sz="1100" baseline="0"/>
        </a:p>
        <a:p>
          <a:r>
            <a:rPr lang="es-ES" sz="1100" b="1" baseline="0"/>
            <a:t>Tiempo de ciclo automatizado: (100 + 126) = 3 minutos y 46 segundos</a:t>
          </a:r>
        </a:p>
        <a:p>
          <a:r>
            <a:rPr lang="es-ES" sz="1100"/>
            <a:t>-</a:t>
          </a:r>
          <a:r>
            <a:rPr lang="es-ES" sz="1100" baseline="0"/>
            <a:t> La primera parte del proceso, una vez automatizado acarreará un tiempo total de 10 segundos. Por lo tanto, para el llenado completo de una caja aproximadamente conllevará 100 segundos (1 minuto y 40 segundos). No se ha contado el tiempo que tardan los azulejos en llegar a la zona de pick de la Cinta A, puesto que esta implementación  también tiene constancia en el proceso manual, por lo tanto consta de los mismo tiempos.</a:t>
          </a:r>
        </a:p>
        <a:p>
          <a:r>
            <a:rPr lang="es-ES" sz="1100" baseline="0"/>
            <a:t>- La segunda parte del proceso en cambio, implicará un total de 7 segundos. Eso implica que para el llenado de un palet compuesto por 18 cajas se tratará en torno a 2 minutos y 6 segundos. Cabe recalcar que el tiempo de ciclo se mide desde que la caja se encuentra al final de la cinta hasta que se deposita en la posición correcta. No obstante, el tiempo transcurrido desde que la caja sale del Proceso A, hasta el final de la cinta mecánica que lo transporta al espacio de trabajo del Proceso B transcurren a groso modo 6/7 segundos. Este periodo de tiempo no se ha tenido en cuenta, al igual que en el caso del proceso sin autoatizar no se ha tenido en cuenta el tiempo extra que se pueden dar en base a los afctores humanos.</a:t>
          </a:r>
        </a:p>
        <a:p>
          <a:endParaRPr lang="es-ES" sz="1100" baseline="0"/>
        </a:p>
        <a:p>
          <a:r>
            <a:rPr lang="es-ES" sz="1100" baseline="0"/>
            <a:t>Aunque a primera vista el proceso manual parece ser más rápido, no es el caso. El proceso manual conlleva tener en cuenta que conforme la jornada laboral va avanzando los operarios cuentan con más fatiga visual para detectar el tipo de azulejo junto el cansancio físico de transportar constantemente cajas de azulejos. Es por ello por lo que la automatizació  del proceso aunque no implique una gran reducción de tiempos sí se puede afirmar que esos tiempos son constantes; además la eficiencia y efectividad del proceso no se ven afectados por el cansancio.</a:t>
          </a:r>
          <a:endParaRPr lang="es-ES"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5C708-756F-4126-80C0-ED638788FD65}">
  <dimension ref="B3:N42"/>
  <sheetViews>
    <sheetView tabSelected="1" topLeftCell="A57" zoomScale="97" zoomScaleNormal="118" workbookViewId="0">
      <selection activeCell="H32" sqref="H32"/>
    </sheetView>
  </sheetViews>
  <sheetFormatPr baseColWidth="10" defaultRowHeight="14.4" x14ac:dyDescent="0.3"/>
  <cols>
    <col min="5" max="5" width="16" customWidth="1"/>
    <col min="6" max="6" width="15.44140625" customWidth="1"/>
    <col min="7" max="7" width="13.88671875" customWidth="1"/>
    <col min="8" max="8" width="16.109375" customWidth="1"/>
    <col min="9" max="10" width="16.6640625" customWidth="1"/>
    <col min="12" max="12" width="13.44140625" customWidth="1"/>
    <col min="13" max="13" width="15.33203125" bestFit="1" customWidth="1"/>
    <col min="14" max="14" width="14.6640625" customWidth="1"/>
  </cols>
  <sheetData>
    <row r="3" spans="2:14" x14ac:dyDescent="0.3">
      <c r="B3" s="43" t="s">
        <v>55</v>
      </c>
      <c r="C3" s="42"/>
      <c r="D3" s="42"/>
      <c r="E3" s="56"/>
      <c r="F3" s="58" t="s">
        <v>54</v>
      </c>
      <c r="G3" s="58" t="s">
        <v>53</v>
      </c>
      <c r="I3" s="57" t="s">
        <v>52</v>
      </c>
      <c r="J3" s="56"/>
      <c r="K3" s="56"/>
      <c r="L3" s="56"/>
      <c r="M3" s="56"/>
      <c r="N3" s="55"/>
    </row>
    <row r="4" spans="2:14" x14ac:dyDescent="0.3">
      <c r="B4" s="54" t="s">
        <v>51</v>
      </c>
      <c r="C4" s="53"/>
      <c r="D4" s="53"/>
      <c r="F4" s="52">
        <v>51495</v>
      </c>
      <c r="G4" s="51">
        <v>1</v>
      </c>
      <c r="I4" s="32" t="s">
        <v>50</v>
      </c>
      <c r="L4" s="33">
        <v>80</v>
      </c>
      <c r="M4">
        <v>200</v>
      </c>
      <c r="N4" s="31" t="s">
        <v>20</v>
      </c>
    </row>
    <row r="5" spans="2:14" x14ac:dyDescent="0.3">
      <c r="B5" s="32" t="s">
        <v>49</v>
      </c>
      <c r="F5" s="50">
        <v>27557</v>
      </c>
      <c r="G5" s="49">
        <v>1</v>
      </c>
      <c r="I5" s="32" t="s">
        <v>48</v>
      </c>
      <c r="L5" s="33">
        <v>8500</v>
      </c>
      <c r="N5" s="31"/>
    </row>
    <row r="6" spans="2:14" x14ac:dyDescent="0.3">
      <c r="B6" s="32" t="s">
        <v>47</v>
      </c>
      <c r="F6" s="50">
        <v>2110.2600000000002</v>
      </c>
      <c r="G6" s="49">
        <v>1</v>
      </c>
      <c r="I6" s="32" t="s">
        <v>46</v>
      </c>
      <c r="L6" s="33">
        <v>4500</v>
      </c>
      <c r="N6" s="31"/>
    </row>
    <row r="7" spans="2:14" x14ac:dyDescent="0.3">
      <c r="B7" s="32" t="s">
        <v>45</v>
      </c>
      <c r="F7" s="50">
        <v>189.55</v>
      </c>
      <c r="G7" s="49">
        <v>5</v>
      </c>
      <c r="I7" s="32" t="s">
        <v>44</v>
      </c>
      <c r="L7" s="33">
        <v>2500</v>
      </c>
      <c r="N7" s="31"/>
    </row>
    <row r="8" spans="2:14" x14ac:dyDescent="0.3">
      <c r="B8" s="32" t="s">
        <v>43</v>
      </c>
      <c r="F8" s="50">
        <v>7657.81</v>
      </c>
      <c r="G8" s="49">
        <v>1</v>
      </c>
      <c r="I8" s="32" t="s">
        <v>42</v>
      </c>
      <c r="L8" s="33">
        <v>8500</v>
      </c>
      <c r="N8" s="31"/>
    </row>
    <row r="9" spans="2:14" x14ac:dyDescent="0.3">
      <c r="B9" s="32" t="s">
        <v>41</v>
      </c>
      <c r="F9" s="50">
        <v>2500</v>
      </c>
      <c r="G9" s="49">
        <v>1</v>
      </c>
      <c r="I9" s="32" t="s">
        <v>40</v>
      </c>
      <c r="L9" s="33">
        <v>10500</v>
      </c>
      <c r="N9" s="31"/>
    </row>
    <row r="10" spans="2:14" x14ac:dyDescent="0.3">
      <c r="B10" s="32" t="s">
        <v>39</v>
      </c>
      <c r="F10" s="50">
        <v>4906.55</v>
      </c>
      <c r="G10" s="49">
        <v>5</v>
      </c>
      <c r="I10" s="40" t="s">
        <v>30</v>
      </c>
      <c r="J10" s="39"/>
      <c r="K10" s="39"/>
      <c r="L10" s="48"/>
      <c r="M10" s="47"/>
      <c r="N10" s="37">
        <f>L4*M4+L5+L6+L7+L8+L9</f>
        <v>50500</v>
      </c>
    </row>
    <row r="11" spans="2:14" x14ac:dyDescent="0.3">
      <c r="B11" s="29" t="s">
        <v>38</v>
      </c>
      <c r="C11" s="28"/>
      <c r="D11" s="28"/>
      <c r="E11" s="28"/>
      <c r="F11" s="46">
        <v>13.51</v>
      </c>
      <c r="G11" s="45">
        <v>2</v>
      </c>
    </row>
    <row r="12" spans="2:14" x14ac:dyDescent="0.3">
      <c r="B12" s="44" t="s">
        <v>30</v>
      </c>
      <c r="C12" s="28"/>
      <c r="D12" s="28"/>
      <c r="E12" s="28"/>
      <c r="F12" s="37">
        <f>F4+F5+F6+F7+F8+F9+F10+F11</f>
        <v>96429.68</v>
      </c>
      <c r="G12" s="37">
        <f>F4*G4+F5*G5+F6*G6+F7*G7+F8*G8+F9*G9+F10*G10+F11*G11</f>
        <v>116827.59</v>
      </c>
    </row>
    <row r="13" spans="2:14" x14ac:dyDescent="0.3">
      <c r="J13" s="43" t="s">
        <v>37</v>
      </c>
      <c r="K13" s="42"/>
      <c r="L13" s="42"/>
      <c r="M13" s="42"/>
      <c r="N13" s="41"/>
    </row>
    <row r="14" spans="2:14" x14ac:dyDescent="0.3">
      <c r="J14" s="32" t="s">
        <v>36</v>
      </c>
      <c r="M14" s="33">
        <v>1500</v>
      </c>
      <c r="N14" s="31"/>
    </row>
    <row r="15" spans="2:14" x14ac:dyDescent="0.3">
      <c r="J15" s="32" t="s">
        <v>35</v>
      </c>
      <c r="M15" s="33">
        <v>1200</v>
      </c>
      <c r="N15" s="31"/>
    </row>
    <row r="16" spans="2:14" x14ac:dyDescent="0.3">
      <c r="J16" s="32" t="s">
        <v>34</v>
      </c>
      <c r="M16" s="33">
        <v>500</v>
      </c>
      <c r="N16" s="31"/>
    </row>
    <row r="17" spans="2:14" x14ac:dyDescent="0.3">
      <c r="J17" s="32" t="s">
        <v>33</v>
      </c>
      <c r="M17" s="33">
        <v>270</v>
      </c>
      <c r="N17" s="31"/>
    </row>
    <row r="18" spans="2:14" x14ac:dyDescent="0.3">
      <c r="J18" s="32" t="s">
        <v>32</v>
      </c>
      <c r="M18" s="33">
        <v>2500</v>
      </c>
      <c r="N18" s="31" t="s">
        <v>31</v>
      </c>
    </row>
    <row r="19" spans="2:14" x14ac:dyDescent="0.3">
      <c r="J19" s="40" t="s">
        <v>30</v>
      </c>
      <c r="K19" s="39"/>
      <c r="L19" s="39"/>
      <c r="M19" s="38"/>
      <c r="N19" s="37">
        <f>M14+M18+M17+M16+M15</f>
        <v>5970</v>
      </c>
    </row>
    <row r="22" spans="2:14" x14ac:dyDescent="0.3">
      <c r="H22" s="26"/>
    </row>
    <row r="23" spans="2:14" x14ac:dyDescent="0.3">
      <c r="B23" s="36" t="s">
        <v>29</v>
      </c>
      <c r="C23" s="35"/>
      <c r="D23" s="35"/>
      <c r="E23" s="35"/>
      <c r="F23" s="35"/>
      <c r="G23" s="34"/>
      <c r="I23" s="36" t="s">
        <v>28</v>
      </c>
      <c r="J23" s="35"/>
      <c r="K23" s="35"/>
      <c r="L23" s="35"/>
      <c r="M23" s="34"/>
    </row>
    <row r="24" spans="2:14" x14ac:dyDescent="0.3">
      <c r="B24" s="32" t="s">
        <v>27</v>
      </c>
      <c r="F24">
        <v>8</v>
      </c>
      <c r="G24" s="31" t="s">
        <v>19</v>
      </c>
      <c r="I24" s="32" t="s">
        <v>26</v>
      </c>
      <c r="L24" s="60">
        <f>F30-L25</f>
        <v>1.8287037037037039E-3</v>
      </c>
      <c r="M24" s="31"/>
    </row>
    <row r="25" spans="2:14" x14ac:dyDescent="0.3">
      <c r="B25" s="32" t="s">
        <v>25</v>
      </c>
      <c r="F25">
        <v>2</v>
      </c>
      <c r="G25" s="31" t="s">
        <v>24</v>
      </c>
      <c r="I25" s="32" t="s">
        <v>23</v>
      </c>
      <c r="L25" s="60">
        <f>L27+L28</f>
        <v>2.6157407407407405E-3</v>
      </c>
      <c r="M25" s="31"/>
    </row>
    <row r="26" spans="2:14" x14ac:dyDescent="0.3">
      <c r="B26" s="32" t="s">
        <v>59</v>
      </c>
      <c r="F26" s="60">
        <v>6.9444444444444447E-4</v>
      </c>
      <c r="G26" s="31"/>
      <c r="I26" s="32" t="s">
        <v>22</v>
      </c>
      <c r="L26">
        <v>4</v>
      </c>
      <c r="M26" s="31"/>
    </row>
    <row r="27" spans="2:14" x14ac:dyDescent="0.3">
      <c r="B27" s="32" t="s">
        <v>60</v>
      </c>
      <c r="F27" s="60">
        <v>3.7499999999999999E-3</v>
      </c>
      <c r="G27" s="31"/>
      <c r="I27" s="32" t="s">
        <v>56</v>
      </c>
      <c r="L27" s="60">
        <v>1.1574074074074073E-3</v>
      </c>
      <c r="M27" s="31"/>
    </row>
    <row r="28" spans="2:14" x14ac:dyDescent="0.3">
      <c r="B28" s="32" t="s">
        <v>21</v>
      </c>
      <c r="F28" s="33">
        <v>25000</v>
      </c>
      <c r="G28" s="31"/>
      <c r="I28" s="32" t="s">
        <v>57</v>
      </c>
      <c r="L28" s="60">
        <v>1.4583333333333334E-3</v>
      </c>
      <c r="M28" s="31"/>
    </row>
    <row r="29" spans="2:14" x14ac:dyDescent="0.3">
      <c r="B29" s="32" t="s">
        <v>17</v>
      </c>
      <c r="F29" s="59">
        <v>0.1</v>
      </c>
      <c r="G29" s="31"/>
      <c r="I29" s="29" t="s">
        <v>18</v>
      </c>
      <c r="J29" s="28"/>
      <c r="K29" s="28"/>
      <c r="L29" s="30">
        <f>F28*L26</f>
        <v>100000</v>
      </c>
      <c r="M29" s="27"/>
    </row>
    <row r="30" spans="2:14" x14ac:dyDescent="0.3">
      <c r="B30" s="29" t="s">
        <v>58</v>
      </c>
      <c r="C30" s="28"/>
      <c r="D30" s="28"/>
      <c r="E30" s="28"/>
      <c r="F30" s="61">
        <f>F26+F27</f>
        <v>4.4444444444444444E-3</v>
      </c>
      <c r="G30" s="27"/>
    </row>
    <row r="32" spans="2:14" x14ac:dyDescent="0.3">
      <c r="I32" s="26"/>
    </row>
    <row r="33" spans="2:14" x14ac:dyDescent="0.3">
      <c r="B33" s="25" t="s">
        <v>16</v>
      </c>
      <c r="C33" s="24"/>
      <c r="D33" s="24"/>
      <c r="E33" s="24"/>
      <c r="F33" s="23">
        <f>G12+N10+N19</f>
        <v>173297.59</v>
      </c>
    </row>
    <row r="35" spans="2:14" x14ac:dyDescent="0.3">
      <c r="B35" s="22" t="s">
        <v>15</v>
      </c>
      <c r="C35" s="21"/>
      <c r="D35" s="21"/>
      <c r="E35" s="21"/>
      <c r="F35" s="21"/>
      <c r="G35" s="21"/>
      <c r="H35" s="21"/>
      <c r="I35" s="21"/>
      <c r="J35" s="20"/>
    </row>
    <row r="36" spans="2:14" x14ac:dyDescent="0.3">
      <c r="B36" s="12" t="s">
        <v>14</v>
      </c>
      <c r="C36" s="11"/>
      <c r="D36" s="11"/>
      <c r="E36" s="19" t="s">
        <v>13</v>
      </c>
      <c r="F36" s="19" t="s">
        <v>12</v>
      </c>
      <c r="G36" s="19" t="s">
        <v>11</v>
      </c>
      <c r="H36" s="19" t="s">
        <v>10</v>
      </c>
      <c r="I36" s="19" t="s">
        <v>9</v>
      </c>
      <c r="J36" s="18" t="s">
        <v>8</v>
      </c>
      <c r="L36" s="15" t="s">
        <v>7</v>
      </c>
      <c r="M36" s="17">
        <f>F33/F40</f>
        <v>1.8430031904711262</v>
      </c>
      <c r="N36" s="16" t="s">
        <v>6</v>
      </c>
    </row>
    <row r="37" spans="2:14" x14ac:dyDescent="0.3">
      <c r="B37" s="12" t="s">
        <v>5</v>
      </c>
      <c r="C37" s="11"/>
      <c r="D37" s="11"/>
      <c r="E37" s="10">
        <f>-F33</f>
        <v>-173297.59</v>
      </c>
      <c r="F37" s="10">
        <v>0</v>
      </c>
      <c r="G37" s="10">
        <v>0</v>
      </c>
      <c r="H37" s="10">
        <v>0</v>
      </c>
      <c r="I37" s="10">
        <v>0</v>
      </c>
      <c r="J37" s="9">
        <v>0</v>
      </c>
      <c r="L37" s="15" t="s">
        <v>4</v>
      </c>
      <c r="M37" s="14">
        <f>(((J40*5)-173297.59)/173297.59)</f>
        <v>1.7129632904877676</v>
      </c>
      <c r="N37" s="13"/>
    </row>
    <row r="38" spans="2:14" x14ac:dyDescent="0.3">
      <c r="B38" s="12" t="s">
        <v>3</v>
      </c>
      <c r="C38" s="11"/>
      <c r="D38" s="11"/>
      <c r="E38" s="10">
        <v>0</v>
      </c>
      <c r="F38" s="10">
        <f>L29</f>
        <v>100000</v>
      </c>
      <c r="G38" s="10">
        <f>F38</f>
        <v>100000</v>
      </c>
      <c r="H38" s="10">
        <f>F38</f>
        <v>100000</v>
      </c>
      <c r="I38" s="10">
        <f>F38</f>
        <v>100000</v>
      </c>
      <c r="J38" s="9">
        <f>F38</f>
        <v>100000</v>
      </c>
    </row>
    <row r="39" spans="2:14" x14ac:dyDescent="0.3">
      <c r="B39" s="12" t="s">
        <v>2</v>
      </c>
      <c r="C39" s="11"/>
      <c r="D39" s="11"/>
      <c r="E39" s="10">
        <v>0</v>
      </c>
      <c r="F39" s="10">
        <f>-N19</f>
        <v>-5970</v>
      </c>
      <c r="G39" s="10">
        <f>-N19</f>
        <v>-5970</v>
      </c>
      <c r="H39" s="10">
        <f>-N19</f>
        <v>-5970</v>
      </c>
      <c r="I39" s="10">
        <f>-N19</f>
        <v>-5970</v>
      </c>
      <c r="J39" s="9">
        <f>-N19</f>
        <v>-5970</v>
      </c>
    </row>
    <row r="40" spans="2:14" x14ac:dyDescent="0.3">
      <c r="B40" s="8" t="s">
        <v>1</v>
      </c>
      <c r="C40" s="7"/>
      <c r="D40" s="6"/>
      <c r="E40" s="5">
        <f>E37+E38+E39</f>
        <v>-173297.59</v>
      </c>
      <c r="F40" s="5">
        <f>F37+F38+F39</f>
        <v>94030</v>
      </c>
      <c r="G40" s="5">
        <f>G37+G38+G39</f>
        <v>94030</v>
      </c>
      <c r="H40" s="5">
        <f>H37+H38+H39</f>
        <v>94030</v>
      </c>
      <c r="I40" s="5">
        <f>I37+I38+I39</f>
        <v>94030</v>
      </c>
      <c r="J40" s="5">
        <f>J37+J38+J39</f>
        <v>94030</v>
      </c>
    </row>
    <row r="41" spans="2:14" x14ac:dyDescent="0.3">
      <c r="B41" s="4" t="s">
        <v>0</v>
      </c>
      <c r="C41" s="3"/>
      <c r="D41" s="2"/>
      <c r="E41" s="1">
        <f>E40</f>
        <v>-173297.59</v>
      </c>
      <c r="F41" s="62">
        <f>E41+F40</f>
        <v>-79267.59</v>
      </c>
      <c r="G41" s="1">
        <f>F41+G40</f>
        <v>14762.410000000003</v>
      </c>
      <c r="H41" s="1">
        <f>G41+H40</f>
        <v>108792.41</v>
      </c>
      <c r="I41" s="1">
        <f>H41+I40</f>
        <v>202822.41</v>
      </c>
      <c r="J41" s="1">
        <f>I41+J40</f>
        <v>296852.41000000003</v>
      </c>
    </row>
    <row r="42" spans="2:14" x14ac:dyDescent="0.3">
      <c r="F42" s="6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Ainhoa Lopez Gomez</dc:creator>
  <cp:lastModifiedBy>Ainhoa Lopez Gomez</cp:lastModifiedBy>
  <dcterms:created xsi:type="dcterms:W3CDTF">2026-05-31T22:01:23Z</dcterms:created>
  <dcterms:modified xsi:type="dcterms:W3CDTF">2026-05-31T22:26:46Z</dcterms:modified>
</cp:coreProperties>
</file>